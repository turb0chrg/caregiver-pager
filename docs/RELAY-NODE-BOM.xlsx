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<sst xmlns="http://schemas.openxmlformats.org/spreadsheetml/2006/main" count="169" uniqueCount="118">
  <si>
    <t xml:space="preserve">Caregiver Alert System — Relay Node BOM (approx. costs)</t>
  </si>
  <si>
    <t xml:space="preserve">Prices are ESTIMATES for one prototype unit (USD entered, CAD computed). Blue = editable input. Vendors: AliExpress/Amazon.ca/Digi-Key etc. — landed cost varies.</t>
  </si>
  <si>
    <t xml:space="preserve">USD -&gt; CAD rate:</t>
  </si>
  <si>
    <t xml:space="preserve">(source ~Aug 2026)</t>
  </si>
  <si>
    <t xml:space="preserve">Shipping/duty buffer:</t>
  </si>
  <si>
    <t xml:space="preserve">(applied to build subtotal)</t>
  </si>
  <si>
    <t xml:space="preserve">CORE BUILD - Option A  (LTE+GPS baseline)</t>
  </si>
  <si>
    <t xml:space="preserve">Item</t>
  </si>
  <si>
    <t xml:space="preserve">Part / Model</t>
  </si>
  <si>
    <t xml:space="preserve">Qty</t>
  </si>
  <si>
    <t xml:space="preserve">Unit (USD)</t>
  </si>
  <si>
    <t xml:space="preserve">Unit (CAD)</t>
  </si>
  <si>
    <t xml:space="preserve">Line (CAD)</t>
  </si>
  <si>
    <t xml:space="preserve">Source</t>
  </si>
  <si>
    <t xml:space="preserve">Notes</t>
  </si>
  <si>
    <t xml:space="preserve">ESP32 + LTE-Cat1 + GNSS board</t>
  </si>
  <si>
    <t xml:space="preserve">LilyGO T-A7670G R2 (Global, w/ GPS)</t>
  </si>
  <si>
    <t xml:space="preserve">AliExpress / Amazon</t>
  </si>
  <si>
    <t xml:space="preserve">Core board. Includes LTE + GPS antennas, 18650 holder, Li-ion charger. WiFi primary + LTE eSIM backup + live GPS.</t>
  </si>
  <si>
    <t xml:space="preserve">Sub-GHz 433 MHz receiver</t>
  </si>
  <si>
    <t xml:space="preserve">CC1101 module + SMA antenna (e.g. TENSTAR)</t>
  </si>
  <si>
    <t xml:space="preserve">AliExpress</t>
  </si>
  <si>
    <t xml:space="preserve">RX for SYNLETT buttons @ 433.92 MHz OOK. Buy 2 (bench + build). 3.3V, wires to SPI + GDO0, no level shifter.</t>
  </si>
  <si>
    <t xml:space="preserve">Li-ion cell (backup / UPS)</t>
  </si>
  <si>
    <t xml:space="preserve">18650, 3000-3500 mAh (Samsung/LG/Panasonic)</t>
  </si>
  <si>
    <t xml:space="preserve">Local / Amazon</t>
  </si>
  <si>
    <t xml:space="preserve">Quality cell able to source &gt;=2 A bursts. &gt;=24 h backup easily met on one cell.</t>
  </si>
  <si>
    <t xml:space="preserve">Mains power adapter</t>
  </si>
  <si>
    <t xml:space="preserve">USB-C wall adapter, 5 V / 2 A</t>
  </si>
  <si>
    <t xml:space="preserve">Amazon / local</t>
  </si>
  <si>
    <t xml:space="preserve">Continuous mains power; board charges the cell while running (UPS behaviour).</t>
  </si>
  <si>
    <t xml:space="preserve">Enclosure</t>
  </si>
  <si>
    <t xml:space="preserve">Non-metallic ABS/PC project box, vented</t>
  </si>
  <si>
    <t xml:space="preserve">MUST be plastic - metal detunes 433/LTE/GPS. Room for board + antennas.</t>
  </si>
  <si>
    <t xml:space="preserve">Wiring / prototyping</t>
  </si>
  <si>
    <t xml:space="preserve">Dupont jumpers + small protoboard</t>
  </si>
  <si>
    <t xml:space="preserve">CC1101 &lt;-&gt; ESP32 SPI + GDO0. Both 3.3 V - no level shifter needed.</t>
  </si>
  <si>
    <t xml:space="preserve">Passives / misc</t>
  </si>
  <si>
    <t xml:space="preserve">Bulk cap 1000-2200 uF + LED + resistors</t>
  </si>
  <si>
    <t xml:space="preserve">Digi-Key / local</t>
  </si>
  <si>
    <t xml:space="preserve">Low-ESR bulk cap across modem/WiFi supply for TX current bursts; status LED.</t>
  </si>
  <si>
    <t xml:space="preserve">Subtotal - Core build (Option A):</t>
  </si>
  <si>
    <t xml:space="preserve">OPTIONAL ADD-ONS</t>
  </si>
  <si>
    <t xml:space="preserve">microSD card</t>
  </si>
  <si>
    <t xml:space="preserve">16-32 GB</t>
  </si>
  <si>
    <t xml:space="preserve">Optional: config + local incident log / firmware assets.</t>
  </si>
  <si>
    <t xml:space="preserve">Antenna panel mounts</t>
  </si>
  <si>
    <t xml:space="preserve">SMA bulkhead pigtails x2</t>
  </si>
  <si>
    <t xml:space="preserve">Amazon / AliExpress</t>
  </si>
  <si>
    <t xml:space="preserve">Optional: tidy external antenna mounting through the enclosure.</t>
  </si>
  <si>
    <t xml:space="preserve">2nd cell + holder</t>
  </si>
  <si>
    <t xml:space="preserve">18650 + external holder</t>
  </si>
  <si>
    <t xml:space="preserve">Optional cold-weather / heavy-TX margin. Decide after measuring outage current.</t>
  </si>
  <si>
    <t xml:space="preserve">Subtotal - Optional add-ons:</t>
  </si>
  <si>
    <t xml:space="preserve">ALTERNATIVE - Option B  (soldered eSIM variant; replaces the Option A board)</t>
  </si>
  <si>
    <t xml:space="preserve">ESP32-S3 + LTE-Cat1 + GNSS + eSIM</t>
  </si>
  <si>
    <t xml:space="preserve">LilyGO T-SIM7670G-S3-Standard</t>
  </si>
  <si>
    <t xml:space="preserve">Replaces the T-A7670G. Adds soldered eSIM (MFF2) pads + nano-SIM. ESP32-S3.</t>
  </si>
  <si>
    <t xml:space="preserve">eSIM chip (MFF2)</t>
  </si>
  <si>
    <t xml:space="preserve">e.g. Hologram SIM-ST-MFF2 (pre-provisioned)</t>
  </si>
  <si>
    <t xml:space="preserve">Hologram / Soracom</t>
  </si>
  <si>
    <t xml:space="preserve">Solder-down IoT eSIM. Provider profile pre-loaded (not consumer download-any-carrier).</t>
  </si>
  <si>
    <t xml:space="preserve">Delta vs Option A board (board + eSIM - T-A7670G):</t>
  </si>
  <si>
    <t xml:space="preserve">Add this delta to the Option A total if you choose Option B.</t>
  </si>
  <si>
    <t xml:space="preserve">ALTERNATIVE - Option C  (WiFi-only, no LTE/GPS - budget build; replaces the Option A board)</t>
  </si>
  <si>
    <t xml:space="preserve">ESP32 + 18650 charger board</t>
  </si>
  <si>
    <t xml:space="preserve">WEMOS-style ESP32-WROOM + 18650 holder/charger</t>
  </si>
  <si>
    <t xml:space="preserve">Replaces the T-A7670G. WiFi ONLY (no cellular), onboard Li-ion charger + 18650 holder, charge-while-run. Onboard WiFi antenna - no external RF antenna needed except the CC1101's.</t>
  </si>
  <si>
    <t xml:space="preserve">Delta vs Option A board (savings):</t>
  </si>
  <si>
    <t xml:space="preserve">Negative = savings. Location becomes a hardcoded fixed address (no GPS).</t>
  </si>
  <si>
    <t xml:space="preserve">Option C also DROPS the IoT data SIM service (see Services: -$10 one-time). Trade-off: NO remote alert path during a mains/router outage (local SYNLETT pager still works). Mitigate by putting the router+modem on a small UPS if outage coverage matters.</t>
  </si>
  <si>
    <t xml:space="preserve">ONE-TIME TOOLS - RF verification dongle (choose ONE; skip if owned)</t>
  </si>
  <si>
    <t xml:space="preserve">SDR dongle - budget</t>
  </si>
  <si>
    <t xml:space="preserve">Generic RTL2832U + R820T2 (100 kHz-1.7 GHz)</t>
  </si>
  <si>
    <t xml:space="preserve">AliExpress 1005009816449120 - CAD ~$20 (Aug 2026). Covers 433 &amp; 315 MHz. Used as the recommended pick in totals.</t>
  </si>
  <si>
    <t xml:space="preserve">SDR dongle - better</t>
  </si>
  <si>
    <t xml:space="preserve">RTL-SDR (likely Blog V4: TCXO + dipole kit)</t>
  </si>
  <si>
    <t xml:space="preserve">AliExpress 1005009013679722 - CAD ~$70 (Aug 2026). TCXO = stable freq, metal case, antenna kit. Worth it if reused.</t>
  </si>
  <si>
    <t xml:space="preserve">SDR dongle - convenience</t>
  </si>
  <si>
    <t xml:space="preserve">RTL-SDR Blog V4 / Nooelec (Amazon.ca)</t>
  </si>
  <si>
    <t xml:space="preserve">Amazon.ca</t>
  </si>
  <si>
    <t xml:space="preserve">CAD ~$55. Same job, domestic shipping + support/returns. NOTE: bench unit received was an FC0012 - fine for OQ-1.</t>
  </si>
  <si>
    <t xml:space="preserve">Subtotal - One-time tools (recommended pick):</t>
  </si>
  <si>
    <t xml:space="preserve">Only ONE dongle is needed - subtotal counts the budget pick (F39). To switch, point the subtotal at F40 or F41. OQ-1 already CLOSED with the bench dongle.</t>
  </si>
  <si>
    <t xml:space="preserve">RECURRING / SERVICES  (first-year / setup estimate)</t>
  </si>
  <si>
    <t xml:space="preserve">IoT data SIM / eSIM (backup link)</t>
  </si>
  <si>
    <t xml:space="preserve">1NCE 500 MB / 10-yr prepaid</t>
  </si>
  <si>
    <t xml:space="preserve">1NCE</t>
  </si>
  <si>
    <t xml:space="preserve">Option A/B ONLY (LTE backup). One-time ~$10 for 10 yrs. NOT needed for Option C (WiFi-only).</t>
  </si>
  <si>
    <t xml:space="preserve">Push license - iOS</t>
  </si>
  <si>
    <t xml:space="preserve">Pushover (one-time per platform)</t>
  </si>
  <si>
    <t xml:space="preserve">Pushover</t>
  </si>
  <si>
    <t xml:space="preserve">One-time. v1 delivery channel.</t>
  </si>
  <si>
    <t xml:space="preserve">Push license - Android</t>
  </si>
  <si>
    <t xml:space="preserve">One-time. Only if Android recipients exist.</t>
  </si>
  <si>
    <t xml:space="preserve">Backend hosting (yr-1 est)</t>
  </si>
  <si>
    <t xml:space="preserve">Azure Functions (consumption)</t>
  </si>
  <si>
    <t xml:space="preserve">Azure</t>
  </si>
  <si>
    <t xml:space="preserve">Likely free tier at this volume; ~$0-3/mo budgeted. v2 SMS/voice adds per-message cost (voip.ms/Twilio).</t>
  </si>
  <si>
    <t xml:space="preserve">Subtotal - Services (first-year est):</t>
  </si>
  <si>
    <t xml:space="preserve">SUMMARY</t>
  </si>
  <si>
    <t xml:space="preserve">Core build (Option A - LTE+GPS):</t>
  </si>
  <si>
    <t xml:space="preserve">+ Optional add-ons:</t>
  </si>
  <si>
    <t xml:space="preserve">Build subtotal (Option A):</t>
  </si>
  <si>
    <t xml:space="preserve">+ Shipping/duty buffer:</t>
  </si>
  <si>
    <t xml:space="preserve">Landed build total - Option A (1 unit):</t>
  </si>
  <si>
    <t xml:space="preserve">+ One-time tools:</t>
  </si>
  <si>
    <t xml:space="preserve">+ First-year services:</t>
  </si>
  <si>
    <t xml:space="preserve">PROJECT TOTAL - Option A (first unit, incl. tools &amp; yr-1 services):</t>
  </si>
  <si>
    <t xml:space="preserve">OPTION C COMPARISON  (WiFi-only budget build)</t>
  </si>
  <si>
    <t xml:space="preserve">Option C core build (swap board, WiFi-only):</t>
  </si>
  <si>
    <t xml:space="preserve">+ Optional add-ons (same):</t>
  </si>
  <si>
    <t xml:space="preserve">Option C build subtotal:</t>
  </si>
  <si>
    <t xml:space="preserve">Landed build total - Option C (1 unit):</t>
  </si>
  <si>
    <t xml:space="preserve">Option C services (yr-1, drops IoT SIM):</t>
  </si>
  <si>
    <t xml:space="preserve">PROJECT TOTAL - Option C (first unit, incl. tools &amp; yr-1 services):</t>
  </si>
  <si>
    <t xml:space="preserve">Option C saving vs Option A (project total):</t>
  </si>
  <si>
    <t xml:space="preserve">Legend:  blue text = editable input  |  yellow fill = key assumption  |  green = Option C budget path  |  Options B and C each REPLACE the Option A board (apply the delta; don't sum boards)  |  tools &amp; services are project costs, not per-unit.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</si>
</sst>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%"/>
    <numFmt numFmtId="167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B57"/>
        <bgColor rgb="FF34506B"/>
      </patternFill>
    </fill>
    <fill>
      <patternFill patternType="solid">
        <fgColor rgb="FFFFF3B0"/>
        <bgColor rgb="FFD9EAD3"/>
      </patternFill>
    </fill>
    <fill>
      <patternFill patternType="solid">
        <fgColor rgb="FF34506B"/>
        <bgColor rgb="FF444444"/>
      </patternFill>
    </fill>
    <fill>
      <patternFill patternType="solid">
        <fgColor rgb="FF5B7794"/>
        <bgColor rgb="FF808080"/>
      </patternFill>
    </fill>
    <fill>
      <patternFill patternType="solid">
        <fgColor rgb="FFDDE8F0"/>
        <bgColor rgb="FFD9EAD3"/>
      </patternFill>
    </fill>
    <fill>
      <patternFill patternType="solid">
        <fgColor rgb="FFEEF3F8"/>
        <bgColor rgb="FFDDE8F0"/>
      </patternFill>
    </fill>
    <fill>
      <patternFill patternType="solid">
        <fgColor rgb="FF2E6B45"/>
        <bgColor rgb="FF34506B"/>
      </patternFill>
    </fill>
    <fill>
      <patternFill patternType="solid">
        <fgColor rgb="FFD9EAD3"/>
        <bgColor rgb="FFDDE8F0"/>
      </patternFill>
    </fill>
    <fill>
      <patternFill patternType="solid">
        <fgColor rgb="FFC9DCEA"/>
        <bgColor rgb="FFDD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45"/>
      <rgbColor rgb="FFBBBBBB"/>
      <rgbColor rgb="FF808080"/>
      <rgbColor rgb="FF9999FF"/>
      <rgbColor rgb="FF993366"/>
      <rgbColor rgb="FFEEF3F8"/>
      <rgbColor rgb="FFDDE8F0"/>
      <rgbColor rgb="FF660066"/>
      <rgbColor rgb="FFFF8080"/>
      <rgbColor rgb="FF0066CC"/>
      <rgbColor rgb="FFC9DC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7794"/>
      <rgbColor rgb="FF969696"/>
      <rgbColor rgb="FF1F3B57"/>
      <rgbColor rgb="FF339966"/>
      <rgbColor rgb="FF003300"/>
      <rgbColor rgb="FF555555"/>
      <rgbColor rgb="FF993300"/>
      <rgbColor rgb="FF993366"/>
      <rgbColor rgb="FF34506B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6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4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 t="n">
        <v>1.38</v>
      </c>
      <c r="C4" s="5" t="s">
        <v>3</v>
      </c>
    </row>
    <row r="5" customFormat="false" ht="15" hidden="false" customHeight="false" outlineLevel="0" collapsed="false">
      <c r="A5" s="3" t="s">
        <v>4</v>
      </c>
      <c r="B5" s="6" t="n">
        <v>0.15</v>
      </c>
      <c r="C5" s="5" t="s">
        <v>5</v>
      </c>
    </row>
    <row r="7" customFormat="false" ht="19.5" hidden="false" customHeight="true" outlineLevel="0" collapsed="false">
      <c r="A7" s="7" t="s">
        <v>6</v>
      </c>
      <c r="B7" s="7"/>
      <c r="C7" s="7"/>
      <c r="D7" s="7"/>
      <c r="E7" s="7"/>
      <c r="F7" s="7"/>
      <c r="G7" s="7"/>
      <c r="H7" s="7"/>
    </row>
    <row r="8" customFormat="false" ht="15" hidden="false" customHeight="false" outlineLevel="0" collapsed="false">
      <c r="A8" s="8" t="s">
        <v>7</v>
      </c>
      <c r="B8" s="8" t="s">
        <v>8</v>
      </c>
      <c r="C8" s="9" t="s">
        <v>9</v>
      </c>
      <c r="D8" s="9" t="s">
        <v>10</v>
      </c>
      <c r="E8" s="9" t="s">
        <v>11</v>
      </c>
      <c r="F8" s="9" t="s">
        <v>12</v>
      </c>
      <c r="G8" s="8" t="s">
        <v>13</v>
      </c>
      <c r="H8" s="8" t="s">
        <v>14</v>
      </c>
    </row>
    <row r="9" customFormat="false" ht="22.35" hidden="false" customHeight="false" outlineLevel="0" collapsed="false">
      <c r="A9" s="10" t="s">
        <v>15</v>
      </c>
      <c r="B9" s="10" t="s">
        <v>16</v>
      </c>
      <c r="C9" s="11" t="n">
        <v>1</v>
      </c>
      <c r="D9" s="12" t="n">
        <v>30</v>
      </c>
      <c r="E9" s="13" t="n">
        <f aca="false">D9*$B$4</f>
        <v>41.4</v>
      </c>
      <c r="F9" s="13" t="n">
        <f aca="false">C9*E9</f>
        <v>41.4</v>
      </c>
      <c r="G9" s="10" t="s">
        <v>17</v>
      </c>
      <c r="H9" s="14" t="s">
        <v>18</v>
      </c>
    </row>
    <row r="10" customFormat="false" ht="22.35" hidden="false" customHeight="false" outlineLevel="0" collapsed="false">
      <c r="A10" s="10" t="s">
        <v>19</v>
      </c>
      <c r="B10" s="10" t="s">
        <v>20</v>
      </c>
      <c r="C10" s="11" t="n">
        <v>2</v>
      </c>
      <c r="D10" s="12" t="n">
        <v>5</v>
      </c>
      <c r="E10" s="13" t="n">
        <f aca="false">D10*$B$4</f>
        <v>6.9</v>
      </c>
      <c r="F10" s="13" t="n">
        <f aca="false">C10*E10</f>
        <v>13.8</v>
      </c>
      <c r="G10" s="10" t="s">
        <v>21</v>
      </c>
      <c r="H10" s="14" t="s">
        <v>22</v>
      </c>
    </row>
    <row r="11" customFormat="false" ht="22.35" hidden="false" customHeight="false" outlineLevel="0" collapsed="false">
      <c r="A11" s="10" t="s">
        <v>23</v>
      </c>
      <c r="B11" s="10" t="s">
        <v>24</v>
      </c>
      <c r="C11" s="11" t="n">
        <v>1</v>
      </c>
      <c r="D11" s="12" t="n">
        <v>10</v>
      </c>
      <c r="E11" s="13" t="n">
        <f aca="false">D11*$B$4</f>
        <v>13.8</v>
      </c>
      <c r="F11" s="13" t="n">
        <f aca="false">C11*E11</f>
        <v>13.8</v>
      </c>
      <c r="G11" s="10" t="s">
        <v>25</v>
      </c>
      <c r="H11" s="14" t="s">
        <v>26</v>
      </c>
    </row>
    <row r="12" customFormat="false" ht="22.35" hidden="false" customHeight="false" outlineLevel="0" collapsed="false">
      <c r="A12" s="10" t="s">
        <v>27</v>
      </c>
      <c r="B12" s="10" t="s">
        <v>28</v>
      </c>
      <c r="C12" s="11" t="n">
        <v>1</v>
      </c>
      <c r="D12" s="12" t="n">
        <v>9</v>
      </c>
      <c r="E12" s="13" t="n">
        <f aca="false">D12*$B$4</f>
        <v>12.42</v>
      </c>
      <c r="F12" s="13" t="n">
        <f aca="false">C12*E12</f>
        <v>12.42</v>
      </c>
      <c r="G12" s="10" t="s">
        <v>29</v>
      </c>
      <c r="H12" s="14" t="s">
        <v>30</v>
      </c>
    </row>
    <row r="13" customFormat="false" ht="22.35" hidden="false" customHeight="false" outlineLevel="0" collapsed="false">
      <c r="A13" s="10" t="s">
        <v>31</v>
      </c>
      <c r="B13" s="10" t="s">
        <v>32</v>
      </c>
      <c r="C13" s="11" t="n">
        <v>1</v>
      </c>
      <c r="D13" s="12" t="n">
        <v>14</v>
      </c>
      <c r="E13" s="13" t="n">
        <f aca="false">D13*$B$4</f>
        <v>19.32</v>
      </c>
      <c r="F13" s="13" t="n">
        <f aca="false">C13*E13</f>
        <v>19.32</v>
      </c>
      <c r="G13" s="10" t="s">
        <v>29</v>
      </c>
      <c r="H13" s="14" t="s">
        <v>33</v>
      </c>
    </row>
    <row r="14" customFormat="false" ht="22.35" hidden="false" customHeight="false" outlineLevel="0" collapsed="false">
      <c r="A14" s="10" t="s">
        <v>34</v>
      </c>
      <c r="B14" s="10" t="s">
        <v>35</v>
      </c>
      <c r="C14" s="11" t="n">
        <v>1</v>
      </c>
      <c r="D14" s="12" t="n">
        <v>7</v>
      </c>
      <c r="E14" s="13" t="n">
        <f aca="false">D14*$B$4</f>
        <v>9.66</v>
      </c>
      <c r="F14" s="13" t="n">
        <f aca="false">C14*E14</f>
        <v>9.66</v>
      </c>
      <c r="G14" s="10" t="s">
        <v>29</v>
      </c>
      <c r="H14" s="14" t="s">
        <v>36</v>
      </c>
    </row>
    <row r="15" customFormat="false" ht="22.35" hidden="false" customHeight="false" outlineLevel="0" collapsed="false">
      <c r="A15" s="10" t="s">
        <v>37</v>
      </c>
      <c r="B15" s="10" t="s">
        <v>38</v>
      </c>
      <c r="C15" s="11" t="n">
        <v>1</v>
      </c>
      <c r="D15" s="12" t="n">
        <v>4</v>
      </c>
      <c r="E15" s="13" t="n">
        <f aca="false">D15*$B$4</f>
        <v>5.52</v>
      </c>
      <c r="F15" s="13" t="n">
        <f aca="false">C15*E15</f>
        <v>5.52</v>
      </c>
      <c r="G15" s="10" t="s">
        <v>39</v>
      </c>
      <c r="H15" s="14" t="s">
        <v>40</v>
      </c>
    </row>
    <row r="16" customFormat="false" ht="15" hidden="false" customHeight="false" outlineLevel="0" collapsed="false">
      <c r="A16" s="15" t="s">
        <v>41</v>
      </c>
      <c r="B16" s="15"/>
      <c r="C16" s="15"/>
      <c r="D16" s="15"/>
      <c r="E16" s="15"/>
      <c r="F16" s="16" t="n">
        <f aca="false">SUM(F9:F15)</f>
        <v>115.92</v>
      </c>
      <c r="G16" s="17"/>
      <c r="H16" s="17"/>
    </row>
    <row r="18" customFormat="false" ht="19.5" hidden="false" customHeight="true" outlineLevel="0" collapsed="false">
      <c r="A18" s="7" t="s">
        <v>42</v>
      </c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0" collapsed="false">
      <c r="A19" s="8" t="s">
        <v>7</v>
      </c>
      <c r="B19" s="8" t="s">
        <v>8</v>
      </c>
      <c r="C19" s="9" t="s">
        <v>9</v>
      </c>
      <c r="D19" s="9" t="s">
        <v>10</v>
      </c>
      <c r="E19" s="9" t="s">
        <v>11</v>
      </c>
      <c r="F19" s="9" t="s">
        <v>12</v>
      </c>
      <c r="G19" s="8" t="s">
        <v>13</v>
      </c>
      <c r="H19" s="8" t="s">
        <v>14</v>
      </c>
    </row>
    <row r="20" customFormat="false" ht="15" hidden="false" customHeight="false" outlineLevel="0" collapsed="false">
      <c r="A20" s="18" t="s">
        <v>43</v>
      </c>
      <c r="B20" s="18" t="s">
        <v>44</v>
      </c>
      <c r="C20" s="19" t="n">
        <v>1</v>
      </c>
      <c r="D20" s="20" t="n">
        <v>7</v>
      </c>
      <c r="E20" s="21" t="n">
        <f aca="false">D20*$B$4</f>
        <v>9.66</v>
      </c>
      <c r="F20" s="21" t="n">
        <f aca="false">C20*E20</f>
        <v>9.66</v>
      </c>
      <c r="G20" s="18" t="s">
        <v>29</v>
      </c>
      <c r="H20" s="22" t="s">
        <v>45</v>
      </c>
    </row>
    <row r="21" customFormat="false" ht="15" hidden="false" customHeight="false" outlineLevel="0" collapsed="false">
      <c r="A21" s="18" t="s">
        <v>46</v>
      </c>
      <c r="B21" s="18" t="s">
        <v>47</v>
      </c>
      <c r="C21" s="19" t="n">
        <v>1</v>
      </c>
      <c r="D21" s="20" t="n">
        <v>9</v>
      </c>
      <c r="E21" s="21" t="n">
        <f aca="false">D21*$B$4</f>
        <v>12.42</v>
      </c>
      <c r="F21" s="21" t="n">
        <f aca="false">C21*E21</f>
        <v>12.42</v>
      </c>
      <c r="G21" s="18" t="s">
        <v>48</v>
      </c>
      <c r="H21" s="22" t="s">
        <v>49</v>
      </c>
    </row>
    <row r="22" customFormat="false" ht="22.35" hidden="false" customHeight="false" outlineLevel="0" collapsed="false">
      <c r="A22" s="18" t="s">
        <v>50</v>
      </c>
      <c r="B22" s="18" t="s">
        <v>51</v>
      </c>
      <c r="C22" s="19" t="n">
        <v>1</v>
      </c>
      <c r="D22" s="20" t="n">
        <v>12</v>
      </c>
      <c r="E22" s="21" t="n">
        <f aca="false">D22*$B$4</f>
        <v>16.56</v>
      </c>
      <c r="F22" s="21" t="n">
        <f aca="false">C22*E22</f>
        <v>16.56</v>
      </c>
      <c r="G22" s="18" t="s">
        <v>29</v>
      </c>
      <c r="H22" s="22" t="s">
        <v>52</v>
      </c>
    </row>
    <row r="23" customFormat="false" ht="15" hidden="false" customHeight="false" outlineLevel="0" collapsed="false">
      <c r="A23" s="15" t="s">
        <v>53</v>
      </c>
      <c r="B23" s="15"/>
      <c r="C23" s="15"/>
      <c r="D23" s="15"/>
      <c r="E23" s="15"/>
      <c r="F23" s="16" t="n">
        <f aca="false">SUM(F20:F22)</f>
        <v>38.64</v>
      </c>
      <c r="G23" s="17"/>
      <c r="H23" s="17"/>
    </row>
    <row r="25" customFormat="false" ht="19.5" hidden="false" customHeight="true" outlineLevel="0" collapsed="false">
      <c r="A25" s="7" t="s">
        <v>54</v>
      </c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0" collapsed="false">
      <c r="A26" s="8" t="s">
        <v>7</v>
      </c>
      <c r="B26" s="8" t="s">
        <v>8</v>
      </c>
      <c r="C26" s="9" t="s">
        <v>9</v>
      </c>
      <c r="D26" s="9" t="s">
        <v>10</v>
      </c>
      <c r="E26" s="9" t="s">
        <v>11</v>
      </c>
      <c r="F26" s="9" t="s">
        <v>12</v>
      </c>
      <c r="G26" s="8" t="s">
        <v>13</v>
      </c>
      <c r="H26" s="8" t="s">
        <v>14</v>
      </c>
    </row>
    <row r="27" customFormat="false" ht="22.35" hidden="false" customHeight="false" outlineLevel="0" collapsed="false">
      <c r="A27" s="10" t="s">
        <v>55</v>
      </c>
      <c r="B27" s="10" t="s">
        <v>56</v>
      </c>
      <c r="C27" s="11" t="n">
        <v>1</v>
      </c>
      <c r="D27" s="12" t="n">
        <v>42</v>
      </c>
      <c r="E27" s="13" t="n">
        <f aca="false">D27*$B$4</f>
        <v>57.96</v>
      </c>
      <c r="F27" s="13" t="n">
        <f aca="false">C27*E27</f>
        <v>57.96</v>
      </c>
      <c r="G27" s="10" t="s">
        <v>17</v>
      </c>
      <c r="H27" s="14" t="s">
        <v>57</v>
      </c>
    </row>
    <row r="28" customFormat="false" ht="22.35" hidden="false" customHeight="false" outlineLevel="0" collapsed="false">
      <c r="A28" s="10" t="s">
        <v>58</v>
      </c>
      <c r="B28" s="10" t="s">
        <v>59</v>
      </c>
      <c r="C28" s="11" t="n">
        <v>1</v>
      </c>
      <c r="D28" s="12" t="n">
        <v>6</v>
      </c>
      <c r="E28" s="13" t="n">
        <f aca="false">D28*$B$4</f>
        <v>8.28</v>
      </c>
      <c r="F28" s="13" t="n">
        <f aca="false">C28*E28</f>
        <v>8.28</v>
      </c>
      <c r="G28" s="10" t="s">
        <v>60</v>
      </c>
      <c r="H28" s="14" t="s">
        <v>61</v>
      </c>
    </row>
    <row r="29" customFormat="false" ht="15" hidden="false" customHeight="false" outlineLevel="0" collapsed="false">
      <c r="A29" s="15" t="s">
        <v>62</v>
      </c>
      <c r="B29" s="15"/>
      <c r="C29" s="15"/>
      <c r="D29" s="15"/>
      <c r="E29" s="15"/>
      <c r="F29" s="16" t="n">
        <f aca="false">(F27+F28)-F9</f>
        <v>24.84</v>
      </c>
      <c r="G29" s="17"/>
      <c r="H29" s="23" t="s">
        <v>63</v>
      </c>
    </row>
    <row r="31" customFormat="false" ht="19.5" hidden="false" customHeight="true" outlineLevel="0" collapsed="false">
      <c r="A31" s="24" t="s">
        <v>64</v>
      </c>
      <c r="B31" s="24"/>
      <c r="C31" s="24"/>
      <c r="D31" s="24"/>
      <c r="E31" s="24"/>
      <c r="F31" s="24"/>
      <c r="G31" s="24"/>
      <c r="H31" s="24"/>
    </row>
    <row r="32" customFormat="false" ht="15" hidden="false" customHeight="false" outlineLevel="0" collapsed="false">
      <c r="A32" s="8" t="s">
        <v>7</v>
      </c>
      <c r="B32" s="8" t="s">
        <v>8</v>
      </c>
      <c r="C32" s="9" t="s">
        <v>9</v>
      </c>
      <c r="D32" s="9" t="s">
        <v>10</v>
      </c>
      <c r="E32" s="9" t="s">
        <v>11</v>
      </c>
      <c r="F32" s="9" t="s">
        <v>12</v>
      </c>
      <c r="G32" s="8" t="s">
        <v>13</v>
      </c>
      <c r="H32" s="8" t="s">
        <v>14</v>
      </c>
    </row>
    <row r="33" customFormat="false" ht="32.8" hidden="false" customHeight="false" outlineLevel="0" collapsed="false">
      <c r="A33" s="18" t="s">
        <v>65</v>
      </c>
      <c r="B33" s="18" t="s">
        <v>66</v>
      </c>
      <c r="C33" s="19" t="n">
        <v>1</v>
      </c>
      <c r="D33" s="20" t="n">
        <v>7</v>
      </c>
      <c r="E33" s="21" t="n">
        <f aca="false">D33*$B$4</f>
        <v>9.66</v>
      </c>
      <c r="F33" s="21" t="n">
        <f aca="false">C33*E33</f>
        <v>9.66</v>
      </c>
      <c r="G33" s="18" t="s">
        <v>21</v>
      </c>
      <c r="H33" s="22" t="s">
        <v>67</v>
      </c>
    </row>
    <row r="34" customFormat="false" ht="22.35" hidden="false" customHeight="false" outlineLevel="0" collapsed="false">
      <c r="A34" s="25" t="s">
        <v>68</v>
      </c>
      <c r="B34" s="25"/>
      <c r="C34" s="25"/>
      <c r="D34" s="25"/>
      <c r="E34" s="25"/>
      <c r="F34" s="26" t="n">
        <f aca="false">F33-F9</f>
        <v>-31.74</v>
      </c>
      <c r="G34" s="27"/>
      <c r="H34" s="28" t="s">
        <v>69</v>
      </c>
    </row>
    <row r="35" customFormat="false" ht="27.75" hidden="false" customHeight="true" outlineLevel="0" collapsed="false">
      <c r="A35" s="29" t="s">
        <v>70</v>
      </c>
      <c r="B35" s="29"/>
      <c r="C35" s="29"/>
      <c r="D35" s="29"/>
      <c r="E35" s="29"/>
      <c r="F35" s="29"/>
      <c r="G35" s="29"/>
      <c r="H35" s="29"/>
    </row>
    <row r="37" customFormat="false" ht="19.5" hidden="false" customHeight="true" outlineLevel="0" collapsed="false">
      <c r="A37" s="7" t="s">
        <v>71</v>
      </c>
      <c r="B37" s="7"/>
      <c r="C37" s="7"/>
      <c r="D37" s="7"/>
      <c r="E37" s="7"/>
      <c r="F37" s="7"/>
      <c r="G37" s="7"/>
      <c r="H37" s="7"/>
    </row>
    <row r="38" customFormat="false" ht="15" hidden="false" customHeight="false" outlineLevel="0" collapsed="false">
      <c r="A38" s="8" t="s">
        <v>7</v>
      </c>
      <c r="B38" s="8" t="s">
        <v>8</v>
      </c>
      <c r="C38" s="9" t="s">
        <v>9</v>
      </c>
      <c r="D38" s="9" t="s">
        <v>10</v>
      </c>
      <c r="E38" s="9" t="s">
        <v>11</v>
      </c>
      <c r="F38" s="9" t="s">
        <v>12</v>
      </c>
      <c r="G38" s="8" t="s">
        <v>13</v>
      </c>
      <c r="H38" s="8" t="s">
        <v>14</v>
      </c>
    </row>
    <row r="39" customFormat="false" ht="22.35" hidden="false" customHeight="false" outlineLevel="0" collapsed="false">
      <c r="A39" s="18" t="s">
        <v>72</v>
      </c>
      <c r="B39" s="18" t="s">
        <v>73</v>
      </c>
      <c r="C39" s="19" t="n">
        <v>1</v>
      </c>
      <c r="D39" s="20" t="n">
        <v>14.4</v>
      </c>
      <c r="E39" s="21" t="n">
        <f aca="false">D39*$B$4</f>
        <v>19.872</v>
      </c>
      <c r="F39" s="21" t="n">
        <f aca="false">C39*E39</f>
        <v>19.872</v>
      </c>
      <c r="G39" s="18" t="s">
        <v>21</v>
      </c>
      <c r="H39" s="22" t="s">
        <v>74</v>
      </c>
    </row>
    <row r="40" customFormat="false" ht="22.35" hidden="false" customHeight="false" outlineLevel="0" collapsed="false">
      <c r="A40" s="18" t="s">
        <v>75</v>
      </c>
      <c r="B40" s="18" t="s">
        <v>76</v>
      </c>
      <c r="C40" s="19" t="n">
        <v>1</v>
      </c>
      <c r="D40" s="20" t="n">
        <v>50.4</v>
      </c>
      <c r="E40" s="21" t="n">
        <f aca="false">D40*$B$4</f>
        <v>69.552</v>
      </c>
      <c r="F40" s="21" t="n">
        <f aca="false">C40*E40</f>
        <v>69.552</v>
      </c>
      <c r="G40" s="18" t="s">
        <v>21</v>
      </c>
      <c r="H40" s="22" t="s">
        <v>77</v>
      </c>
    </row>
    <row r="41" customFormat="false" ht="22.35" hidden="false" customHeight="false" outlineLevel="0" collapsed="false">
      <c r="A41" s="18" t="s">
        <v>78</v>
      </c>
      <c r="B41" s="18" t="s">
        <v>79</v>
      </c>
      <c r="C41" s="19" t="n">
        <v>1</v>
      </c>
      <c r="D41" s="20" t="n">
        <v>40</v>
      </c>
      <c r="E41" s="21" t="n">
        <f aca="false">D41*$B$4</f>
        <v>55.2</v>
      </c>
      <c r="F41" s="21" t="n">
        <f aca="false">C41*E41</f>
        <v>55.2</v>
      </c>
      <c r="G41" s="18" t="s">
        <v>80</v>
      </c>
      <c r="H41" s="22" t="s">
        <v>81</v>
      </c>
    </row>
    <row r="42" customFormat="false" ht="15" hidden="false" customHeight="false" outlineLevel="0" collapsed="false">
      <c r="A42" s="15" t="s">
        <v>82</v>
      </c>
      <c r="B42" s="15"/>
      <c r="C42" s="15"/>
      <c r="D42" s="15"/>
      <c r="E42" s="15"/>
      <c r="F42" s="16" t="n">
        <f aca="false">F39</f>
        <v>19.872</v>
      </c>
      <c r="G42" s="17"/>
      <c r="H42" s="17"/>
    </row>
    <row r="43" customFormat="false" ht="15" hidden="false" customHeight="false" outlineLevel="0" collapsed="false">
      <c r="A43" s="30" t="s">
        <v>83</v>
      </c>
      <c r="B43" s="30"/>
      <c r="C43" s="30"/>
      <c r="D43" s="30"/>
      <c r="E43" s="30"/>
      <c r="F43" s="30"/>
      <c r="G43" s="30"/>
      <c r="H43" s="30"/>
    </row>
    <row r="45" customFormat="false" ht="19.5" hidden="false" customHeight="true" outlineLevel="0" collapsed="false">
      <c r="A45" s="7" t="s">
        <v>84</v>
      </c>
      <c r="B45" s="7"/>
      <c r="C45" s="7"/>
      <c r="D45" s="7"/>
      <c r="E45" s="7"/>
      <c r="F45" s="7"/>
      <c r="G45" s="7"/>
      <c r="H45" s="7"/>
    </row>
    <row r="46" customFormat="false" ht="15" hidden="false" customHeight="false" outlineLevel="0" collapsed="false">
      <c r="A46" s="8" t="s">
        <v>7</v>
      </c>
      <c r="B46" s="8" t="s">
        <v>8</v>
      </c>
      <c r="C46" s="9" t="s">
        <v>9</v>
      </c>
      <c r="D46" s="9" t="s">
        <v>10</v>
      </c>
      <c r="E46" s="9" t="s">
        <v>11</v>
      </c>
      <c r="F46" s="9" t="s">
        <v>12</v>
      </c>
      <c r="G46" s="8" t="s">
        <v>13</v>
      </c>
      <c r="H46" s="8" t="s">
        <v>14</v>
      </c>
    </row>
    <row r="47" customFormat="false" ht="22.35" hidden="false" customHeight="false" outlineLevel="0" collapsed="false">
      <c r="A47" s="10" t="s">
        <v>85</v>
      </c>
      <c r="B47" s="10" t="s">
        <v>86</v>
      </c>
      <c r="C47" s="11" t="n">
        <v>1</v>
      </c>
      <c r="D47" s="12" t="n">
        <v>10</v>
      </c>
      <c r="E47" s="13" t="n">
        <f aca="false">D47*$B$4</f>
        <v>13.8</v>
      </c>
      <c r="F47" s="13" t="n">
        <f aca="false">C47*E47</f>
        <v>13.8</v>
      </c>
      <c r="G47" s="10" t="s">
        <v>87</v>
      </c>
      <c r="H47" s="14" t="s">
        <v>88</v>
      </c>
    </row>
    <row r="48" customFormat="false" ht="15" hidden="false" customHeight="false" outlineLevel="0" collapsed="false">
      <c r="A48" s="10" t="s">
        <v>89</v>
      </c>
      <c r="B48" s="10" t="s">
        <v>90</v>
      </c>
      <c r="C48" s="11" t="n">
        <v>1</v>
      </c>
      <c r="D48" s="12" t="n">
        <v>5</v>
      </c>
      <c r="E48" s="13" t="n">
        <f aca="false">D48*$B$4</f>
        <v>6.9</v>
      </c>
      <c r="F48" s="13" t="n">
        <f aca="false">C48*E48</f>
        <v>6.9</v>
      </c>
      <c r="G48" s="10" t="s">
        <v>91</v>
      </c>
      <c r="H48" s="14" t="s">
        <v>92</v>
      </c>
    </row>
    <row r="49" customFormat="false" ht="15" hidden="false" customHeight="false" outlineLevel="0" collapsed="false">
      <c r="A49" s="10" t="s">
        <v>93</v>
      </c>
      <c r="B49" s="10" t="s">
        <v>90</v>
      </c>
      <c r="C49" s="11" t="n">
        <v>1</v>
      </c>
      <c r="D49" s="12" t="n">
        <v>5</v>
      </c>
      <c r="E49" s="13" t="n">
        <f aca="false">D49*$B$4</f>
        <v>6.9</v>
      </c>
      <c r="F49" s="13" t="n">
        <f aca="false">C49*E49</f>
        <v>6.9</v>
      </c>
      <c r="G49" s="10" t="s">
        <v>91</v>
      </c>
      <c r="H49" s="14" t="s">
        <v>94</v>
      </c>
    </row>
    <row r="50" customFormat="false" ht="22.35" hidden="false" customHeight="false" outlineLevel="0" collapsed="false">
      <c r="A50" s="10" t="s">
        <v>95</v>
      </c>
      <c r="B50" s="10" t="s">
        <v>96</v>
      </c>
      <c r="C50" s="11" t="n">
        <v>1</v>
      </c>
      <c r="D50" s="12" t="n">
        <v>24</v>
      </c>
      <c r="E50" s="13" t="n">
        <f aca="false">D50*$B$4</f>
        <v>33.12</v>
      </c>
      <c r="F50" s="13" t="n">
        <f aca="false">C50*E50</f>
        <v>33.12</v>
      </c>
      <c r="G50" s="10" t="s">
        <v>97</v>
      </c>
      <c r="H50" s="14" t="s">
        <v>98</v>
      </c>
    </row>
    <row r="51" customFormat="false" ht="15" hidden="false" customHeight="false" outlineLevel="0" collapsed="false">
      <c r="A51" s="15" t="s">
        <v>99</v>
      </c>
      <c r="B51" s="15"/>
      <c r="C51" s="15"/>
      <c r="D51" s="15"/>
      <c r="E51" s="15"/>
      <c r="F51" s="16" t="n">
        <f aca="false">SUM(F47:F50)</f>
        <v>60.72</v>
      </c>
      <c r="G51" s="17"/>
      <c r="H51" s="17"/>
    </row>
    <row r="53" customFormat="false" ht="19.5" hidden="false" customHeight="true" outlineLevel="0" collapsed="false">
      <c r="A53" s="31" t="s">
        <v>100</v>
      </c>
      <c r="B53" s="31"/>
      <c r="C53" s="31"/>
      <c r="D53" s="31"/>
      <c r="E53" s="31"/>
      <c r="F53" s="31"/>
      <c r="G53" s="31"/>
      <c r="H53" s="31"/>
    </row>
    <row r="54" customFormat="false" ht="15" hidden="false" customHeight="false" outlineLevel="0" collapsed="false">
      <c r="A54" s="15" t="s">
        <v>101</v>
      </c>
      <c r="B54" s="15"/>
      <c r="C54" s="15"/>
      <c r="D54" s="15"/>
      <c r="E54" s="15"/>
      <c r="F54" s="32" t="n">
        <f aca="false">F16</f>
        <v>115.92</v>
      </c>
      <c r="G54" s="17"/>
      <c r="H54" s="17"/>
    </row>
    <row r="55" customFormat="false" ht="15" hidden="false" customHeight="false" outlineLevel="0" collapsed="false">
      <c r="A55" s="15" t="s">
        <v>102</v>
      </c>
      <c r="B55" s="15"/>
      <c r="C55" s="15"/>
      <c r="D55" s="15"/>
      <c r="E55" s="15"/>
      <c r="F55" s="32" t="n">
        <f aca="false">F23</f>
        <v>38.64</v>
      </c>
      <c r="G55" s="17"/>
      <c r="H55" s="17"/>
    </row>
    <row r="56" customFormat="false" ht="15" hidden="false" customHeight="false" outlineLevel="0" collapsed="false">
      <c r="A56" s="15" t="s">
        <v>103</v>
      </c>
      <c r="B56" s="15"/>
      <c r="C56" s="15"/>
      <c r="D56" s="15"/>
      <c r="E56" s="15"/>
      <c r="F56" s="32" t="n">
        <f aca="false">F54+F55</f>
        <v>154.56</v>
      </c>
      <c r="G56" s="17"/>
      <c r="H56" s="17"/>
    </row>
    <row r="57" customFormat="false" ht="15" hidden="false" customHeight="false" outlineLevel="0" collapsed="false">
      <c r="A57" s="15" t="s">
        <v>104</v>
      </c>
      <c r="B57" s="15"/>
      <c r="C57" s="15"/>
      <c r="D57" s="15"/>
      <c r="E57" s="15"/>
      <c r="F57" s="32" t="n">
        <f aca="false">F56*$B$5</f>
        <v>23.184</v>
      </c>
      <c r="G57" s="17"/>
      <c r="H57" s="17"/>
    </row>
    <row r="58" customFormat="false" ht="15" hidden="false" customHeight="false" outlineLevel="0" collapsed="false">
      <c r="A58" s="33" t="s">
        <v>105</v>
      </c>
      <c r="B58" s="33"/>
      <c r="C58" s="33"/>
      <c r="D58" s="33"/>
      <c r="E58" s="33"/>
      <c r="F58" s="34" t="n">
        <f aca="false">F56+F57</f>
        <v>177.744</v>
      </c>
      <c r="G58" s="35"/>
      <c r="H58" s="35"/>
    </row>
    <row r="59" customFormat="false" ht="15" hidden="false" customHeight="false" outlineLevel="0" collapsed="false">
      <c r="A59" s="15" t="s">
        <v>106</v>
      </c>
      <c r="B59" s="15"/>
      <c r="C59" s="15"/>
      <c r="D59" s="15"/>
      <c r="E59" s="15"/>
      <c r="F59" s="32" t="n">
        <f aca="false">F42</f>
        <v>19.872</v>
      </c>
      <c r="G59" s="17"/>
      <c r="H59" s="17"/>
    </row>
    <row r="60" customFormat="false" ht="15" hidden="false" customHeight="false" outlineLevel="0" collapsed="false">
      <c r="A60" s="15" t="s">
        <v>107</v>
      </c>
      <c r="B60" s="15"/>
      <c r="C60" s="15"/>
      <c r="D60" s="15"/>
      <c r="E60" s="15"/>
      <c r="F60" s="32" t="n">
        <f aca="false">F51</f>
        <v>60.72</v>
      </c>
      <c r="G60" s="17"/>
      <c r="H60" s="17"/>
    </row>
    <row r="61" customFormat="false" ht="15" hidden="false" customHeight="false" outlineLevel="0" collapsed="false">
      <c r="A61" s="33" t="s">
        <v>108</v>
      </c>
      <c r="B61" s="33"/>
      <c r="C61" s="33"/>
      <c r="D61" s="33"/>
      <c r="E61" s="33"/>
      <c r="F61" s="34" t="n">
        <f aca="false">F58+F59+F60</f>
        <v>258.336</v>
      </c>
      <c r="G61" s="35"/>
      <c r="H61" s="35"/>
    </row>
    <row r="63" customFormat="false" ht="19.5" hidden="false" customHeight="true" outlineLevel="0" collapsed="false">
      <c r="A63" s="24" t="s">
        <v>109</v>
      </c>
      <c r="B63" s="24"/>
      <c r="C63" s="24"/>
      <c r="D63" s="24"/>
      <c r="E63" s="24"/>
      <c r="F63" s="24"/>
      <c r="G63" s="24"/>
      <c r="H63" s="24"/>
    </row>
    <row r="64" customFormat="false" ht="15" hidden="false" customHeight="false" outlineLevel="0" collapsed="false">
      <c r="A64" s="25" t="s">
        <v>110</v>
      </c>
      <c r="B64" s="25"/>
      <c r="C64" s="25"/>
      <c r="D64" s="25"/>
      <c r="E64" s="25"/>
      <c r="F64" s="36" t="n">
        <f aca="false">F16+F34</f>
        <v>84.18</v>
      </c>
      <c r="G64" s="27"/>
      <c r="H64" s="27"/>
    </row>
    <row r="65" customFormat="false" ht="15" hidden="false" customHeight="false" outlineLevel="0" collapsed="false">
      <c r="A65" s="25" t="s">
        <v>111</v>
      </c>
      <c r="B65" s="25"/>
      <c r="C65" s="25"/>
      <c r="D65" s="25"/>
      <c r="E65" s="25"/>
      <c r="F65" s="36" t="n">
        <f aca="false">F23</f>
        <v>38.64</v>
      </c>
      <c r="G65" s="27"/>
      <c r="H65" s="27"/>
    </row>
    <row r="66" customFormat="false" ht="15" hidden="false" customHeight="false" outlineLevel="0" collapsed="false">
      <c r="A66" s="25" t="s">
        <v>112</v>
      </c>
      <c r="B66" s="25"/>
      <c r="C66" s="25"/>
      <c r="D66" s="25"/>
      <c r="E66" s="25"/>
      <c r="F66" s="36" t="n">
        <f aca="false">F64+F23</f>
        <v>122.82</v>
      </c>
      <c r="G66" s="27"/>
      <c r="H66" s="27"/>
    </row>
    <row r="67" customFormat="false" ht="15" hidden="false" customHeight="false" outlineLevel="0" collapsed="false">
      <c r="A67" s="25" t="s">
        <v>104</v>
      </c>
      <c r="B67" s="25"/>
      <c r="C67" s="25"/>
      <c r="D67" s="25"/>
      <c r="E67" s="25"/>
      <c r="F67" s="36" t="n">
        <f aca="false">F66*$B$5</f>
        <v>18.423</v>
      </c>
      <c r="G67" s="27"/>
      <c r="H67" s="27"/>
    </row>
    <row r="68" customFormat="false" ht="15" hidden="false" customHeight="false" outlineLevel="0" collapsed="false">
      <c r="A68" s="33" t="s">
        <v>113</v>
      </c>
      <c r="B68" s="33"/>
      <c r="C68" s="33"/>
      <c r="D68" s="33"/>
      <c r="E68" s="33"/>
      <c r="F68" s="34" t="n">
        <f aca="false">F66+F67</f>
        <v>141.243</v>
      </c>
      <c r="G68" s="35"/>
      <c r="H68" s="35"/>
    </row>
    <row r="69" customFormat="false" ht="15" hidden="false" customHeight="false" outlineLevel="0" collapsed="false">
      <c r="A69" s="25" t="s">
        <v>114</v>
      </c>
      <c r="B69" s="25"/>
      <c r="C69" s="25"/>
      <c r="D69" s="25"/>
      <c r="E69" s="25"/>
      <c r="F69" s="36" t="n">
        <f aca="false">F51-F47</f>
        <v>46.92</v>
      </c>
      <c r="G69" s="27"/>
      <c r="H69" s="27"/>
    </row>
    <row r="70" customFormat="false" ht="15" hidden="false" customHeight="false" outlineLevel="0" collapsed="false">
      <c r="A70" s="33" t="s">
        <v>115</v>
      </c>
      <c r="B70" s="33"/>
      <c r="C70" s="33"/>
      <c r="D70" s="33"/>
      <c r="E70" s="33"/>
      <c r="F70" s="34" t="n">
        <f aca="false">F68+F42+F69</f>
        <v>208.035</v>
      </c>
      <c r="G70" s="35"/>
      <c r="H70" s="35"/>
    </row>
    <row r="71" customFormat="false" ht="15" hidden="false" customHeight="false" outlineLevel="0" collapsed="false">
      <c r="A71" s="37" t="s">
        <v>116</v>
      </c>
      <c r="B71" s="37"/>
      <c r="C71" s="37"/>
      <c r="D71" s="37"/>
      <c r="E71" s="37"/>
      <c r="F71" s="26" t="n">
        <f aca="false">(F58+F59+F60)-(F68+F42+F69)</f>
        <v>50.301</v>
      </c>
      <c r="G71" s="27"/>
      <c r="H71" s="27"/>
    </row>
    <row r="73" customFormat="false" ht="15" hidden="false" customHeight="false" outlineLevel="0" collapsed="false">
      <c r="A73" s="30" t="s">
        <v>117</v>
      </c>
      <c r="B73" s="30"/>
      <c r="C73" s="30"/>
      <c r="D73" s="30"/>
      <c r="E73" s="30"/>
      <c r="F73" s="30"/>
      <c r="G73" s="30"/>
      <c r="H73" s="30"/>
    </row>
  </sheetData>
  <mergeCells count="35">
    <mergeCell ref="A1:H1"/>
    <mergeCell ref="A2:H2"/>
    <mergeCell ref="A7:H7"/>
    <mergeCell ref="A16:E16"/>
    <mergeCell ref="A18:H18"/>
    <mergeCell ref="A23:E23"/>
    <mergeCell ref="A25:H25"/>
    <mergeCell ref="A29:E29"/>
    <mergeCell ref="A31:H31"/>
    <mergeCell ref="A34:E34"/>
    <mergeCell ref="A35:H35"/>
    <mergeCell ref="A37:H37"/>
    <mergeCell ref="A42:E42"/>
    <mergeCell ref="A43:H43"/>
    <mergeCell ref="A45:H45"/>
    <mergeCell ref="A51:E51"/>
    <mergeCell ref="A53:H53"/>
    <mergeCell ref="A54:E54"/>
    <mergeCell ref="A55:E55"/>
    <mergeCell ref="A56:E56"/>
    <mergeCell ref="A57:E57"/>
    <mergeCell ref="A58:E58"/>
    <mergeCell ref="A59:E59"/>
    <mergeCell ref="A60:E60"/>
    <mergeCell ref="A61:E61"/>
    <mergeCell ref="A63:H63"/>
    <mergeCell ref="A64:E64"/>
    <mergeCell ref="A65:E65"/>
    <mergeCell ref="A66:E66"/>
    <mergeCell ref="A67:E67"/>
    <mergeCell ref="A68:E68"/>
    <mergeCell ref="A69:E69"/>
    <mergeCell ref="A70:E70"/>
    <mergeCell ref="A71:E71"/>
    <mergeCell ref="A73:H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2026-09-15T23:56:15Z</dcterms:created>
  <dc:creator>openpyxl</dc:creator>
  <dc:description/>
  <dc:language>en-US</dc:language>
  <cp:lastModifiedBy/>
  <dcterms:modified xsi:type="dcterms:W3CDTF">2026-09-15T23:56:15Z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